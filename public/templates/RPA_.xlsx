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rne\Downloads\"/>
    </mc:Choice>
  </mc:AlternateContent>
  <xr:revisionPtr revIDLastSave="0" documentId="13_ncr:1_{48E51241-0C89-40DD-A6B3-E5AA302000E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RPA 005" sheetId="1" r:id="rId1"/>
  </sheets>
  <definedNames>
    <definedName name="_xlnm.Print_Area" localSheetId="0">'RPA 005'!$A$2:$E$19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7" i="1" s="1"/>
  <c r="E28" i="1"/>
  <c r="E8" i="1"/>
  <c r="E12" i="1" s="1"/>
  <c r="F16" i="1" l="1"/>
  <c r="E17" i="1"/>
</calcChain>
</file>

<file path=xl/sharedStrings.xml><?xml version="1.0" encoding="utf-8"?>
<sst xmlns="http://schemas.openxmlformats.org/spreadsheetml/2006/main" count="60" uniqueCount="30">
  <si>
    <t>Razão Social</t>
  </si>
  <si>
    <t>CNPJ: 32.311.191/0001-07</t>
  </si>
  <si>
    <t>Número Inscrição INSS/PIS</t>
  </si>
  <si>
    <t>Especificação</t>
  </si>
  <si>
    <t>Valor do serviço prestado</t>
  </si>
  <si>
    <t>outros proventos</t>
  </si>
  <si>
    <t>Identidade RG</t>
  </si>
  <si>
    <t>Orgão  ssp rs</t>
  </si>
  <si>
    <t>Descontos</t>
  </si>
  <si>
    <t>1   Contribuição INSS</t>
  </si>
  <si>
    <t>2-  INSS Frete</t>
  </si>
  <si>
    <t>Local</t>
  </si>
  <si>
    <t>Data</t>
  </si>
  <si>
    <t>3-  IRRF</t>
  </si>
  <si>
    <t>São Leopoldo - RS</t>
  </si>
  <si>
    <t>4-  ISS</t>
  </si>
  <si>
    <t>5-  Outros</t>
  </si>
  <si>
    <t>Total descontos</t>
  </si>
  <si>
    <t>Valor Líquido</t>
  </si>
  <si>
    <t>Nome:</t>
  </si>
  <si>
    <t>Assinatura</t>
  </si>
  <si>
    <t>Recibo de Pagamento Autônomo - RPA</t>
  </si>
  <si>
    <r>
      <rPr>
        <b/>
        <sz val="11"/>
        <color theme="4" tint="-0.249977111117893"/>
        <rFont val="Arial"/>
        <family val="2"/>
      </rPr>
      <t>Mega Feira</t>
    </r>
    <r>
      <rPr>
        <b/>
        <sz val="11"/>
        <rFont val="Arial"/>
        <family val="2"/>
      </rPr>
      <t xml:space="preserve">
Tecnologia e Operação em Eventos LTDA</t>
    </r>
  </si>
  <si>
    <t>Recibo número 006</t>
  </si>
  <si>
    <t>Recebi da empresa acima identificada, pela prestação de serviço de Operador de Estacionamento a importancia de R$ 450,00 (Quatrocentos e cinquenta reais) conforme discriminado abaixo.</t>
  </si>
  <si>
    <t>CPF: 046.919.910-050</t>
  </si>
  <si>
    <t>número: 1131616391</t>
  </si>
  <si>
    <t>Enderreço: Almirante Tamandaré, 243</t>
  </si>
  <si>
    <t>Centro  Carazinho -RS</t>
  </si>
  <si>
    <t>Artur Gabriel Pavan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</si>
</sst>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7"/>
      <name val="Arial"/>
    </font>
    <font>
      <sz val="9"/>
      <name val="Arial"/>
    </font>
    <font>
      <b/>
      <sz val="10"/>
      <name val="Arial"/>
    </font>
    <font>
      <b/>
      <sz val="9"/>
      <name val="Arial"/>
    </font>
    <font>
      <b/>
      <sz val="16"/>
      <color theme="1"/>
      <name val="Calibri"/>
      <family val="2"/>
      <scheme val="minor"/>
    </font>
    <font>
      <sz val="9"/>
      <name val="Arial"/>
      <family val="2"/>
    </font>
    <font>
      <b/>
      <sz val="11"/>
      <color theme="4" tint="-0.249977111117893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/>
      <top style="thin">
        <color theme="0"/>
      </top>
      <bottom style="thin">
        <color auto="1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1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7" xfId="0" applyBorder="1"/>
    <xf numFmtId="0" fontId="2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1" xfId="0" applyBorder="1"/>
    <xf numFmtId="0" fontId="2" fillId="0" borderId="8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0" borderId="13" xfId="0" applyBorder="1"/>
    <xf numFmtId="0" fontId="3" fillId="0" borderId="5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8" fillId="0" borderId="17" xfId="0" applyFont="1" applyBorder="1" applyAlignment="1">
      <alignment horizontal="left" vertical="center" wrapText="1"/>
    </xf>
    <xf numFmtId="0" fontId="0" fillId="0" borderId="5" xfId="0" applyBorder="1"/>
    <xf numFmtId="0" fontId="0" fillId="0" borderId="41" xfId="0" applyBorder="1"/>
    <xf numFmtId="0" fontId="3" fillId="0" borderId="29" xfId="0" applyFont="1" applyBorder="1" applyAlignment="1">
      <alignment horizontal="right" vertical="center"/>
    </xf>
    <xf numFmtId="0" fontId="3" fillId="0" borderId="42" xfId="0" applyFont="1" applyBorder="1" applyAlignment="1">
      <alignment horizontal="right" vertical="center"/>
    </xf>
    <xf numFmtId="0" fontId="2" fillId="0" borderId="37" xfId="0" applyFont="1" applyBorder="1" applyAlignment="1">
      <alignment horizontal="left" vertical="center"/>
    </xf>
    <xf numFmtId="0" fontId="0" fillId="0" borderId="2" xfId="0" applyBorder="1"/>
    <xf numFmtId="0" fontId="2" fillId="0" borderId="30" xfId="0" applyFont="1" applyBorder="1" applyAlignment="1">
      <alignment horizontal="left" vertical="center"/>
    </xf>
    <xf numFmtId="0" fontId="0" fillId="0" borderId="3" xfId="0" applyBorder="1"/>
    <xf numFmtId="0" fontId="2" fillId="0" borderId="34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0" fillId="0" borderId="22" xfId="0" applyBorder="1"/>
    <xf numFmtId="0" fontId="2" fillId="0" borderId="49" xfId="0" applyFont="1" applyBorder="1" applyAlignment="1">
      <alignment horizontal="left" vertical="center"/>
    </xf>
    <xf numFmtId="0" fontId="0" fillId="0" borderId="50" xfId="0" applyBorder="1"/>
    <xf numFmtId="0" fontId="1" fillId="0" borderId="35" xfId="0" applyFont="1" applyBorder="1" applyAlignment="1">
      <alignment horizontal="left" vertical="center"/>
    </xf>
    <xf numFmtId="0" fontId="0" fillId="0" borderId="24" xfId="0" applyBorder="1"/>
    <xf numFmtId="0" fontId="2" fillId="0" borderId="29" xfId="0" applyFont="1" applyBorder="1" applyAlignment="1">
      <alignment horizontal="left" vertical="center"/>
    </xf>
    <xf numFmtId="0" fontId="0" fillId="0" borderId="33" xfId="0" applyBorder="1"/>
    <xf numFmtId="0" fontId="2" fillId="0" borderId="35" xfId="0" applyFont="1" applyBorder="1" applyAlignment="1">
      <alignment horizontal="left" vertical="center"/>
    </xf>
    <xf numFmtId="0" fontId="0" fillId="0" borderId="23" xfId="0" applyBorder="1"/>
    <xf numFmtId="0" fontId="2" fillId="0" borderId="19" xfId="0" applyFont="1" applyBorder="1" applyAlignment="1">
      <alignment horizontal="left" vertical="center"/>
    </xf>
    <xf numFmtId="0" fontId="0" fillId="0" borderId="54" xfId="0" applyBorder="1"/>
    <xf numFmtId="0" fontId="2" fillId="0" borderId="32" xfId="0" applyFont="1" applyBorder="1" applyAlignment="1">
      <alignment horizontal="left" vertical="center"/>
    </xf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2" fillId="0" borderId="51" xfId="0" applyFont="1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2" fillId="0" borderId="45" xfId="0" applyFont="1" applyBorder="1" applyAlignment="1">
      <alignment horizontal="left" vertical="center"/>
    </xf>
    <xf numFmtId="0" fontId="0" fillId="0" borderId="46" xfId="0" applyBorder="1"/>
    <xf numFmtId="0" fontId="0" fillId="0" borderId="47" xfId="0" applyBorder="1"/>
    <xf numFmtId="44" fontId="3" fillId="0" borderId="53" xfId="1" applyFont="1" applyBorder="1" applyAlignment="1">
      <alignment horizontal="right" vertical="center"/>
    </xf>
    <xf numFmtId="2" fontId="2" fillId="0" borderId="26" xfId="0" applyNumberFormat="1" applyFont="1" applyBorder="1" applyAlignment="1">
      <alignment horizontal="right" vertical="center"/>
    </xf>
    <xf numFmtId="44" fontId="2" fillId="0" borderId="26" xfId="0" applyNumberFormat="1" applyFont="1" applyBorder="1" applyAlignment="1">
      <alignment horizontal="right" vertical="center"/>
    </xf>
    <xf numFmtId="14" fontId="2" fillId="0" borderId="9" xfId="0" applyNumberFormat="1" applyFont="1" applyBorder="1" applyAlignment="1">
      <alignment horizontal="left" vertical="center"/>
    </xf>
    <xf numFmtId="44" fontId="0" fillId="0" borderId="2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24" workbookViewId="0">
      <selection activeCell="A41" sqref="A41"/>
    </sheetView>
  </sheetViews>
  <sheetFormatPr defaultRowHeight="14.4" x14ac:dyDescent="0.3"/>
  <cols>
    <col min="1" max="2" width="14" customWidth="1"/>
    <col min="3" max="3" width="16" customWidth="1"/>
    <col min="4" max="4" width="24" customWidth="1"/>
    <col min="5" max="5" width="14" customWidth="1"/>
    <col min="6" max="6" width="10.33203125" bestFit="1" customWidth="1"/>
  </cols>
  <sheetData>
    <row r="1" spans="1:8" ht="21.6" thickBot="1" x14ac:dyDescent="0.45">
      <c r="A1" s="25" t="s">
        <v>21</v>
      </c>
      <c r="B1" s="26"/>
      <c r="C1" s="26"/>
      <c r="D1" s="26"/>
      <c r="E1" s="27"/>
      <c r="F1" s="3"/>
    </row>
    <row r="2" spans="1:8" ht="10.95" customHeight="1" x14ac:dyDescent="0.3">
      <c r="A2" s="34" t="s">
        <v>0</v>
      </c>
      <c r="B2" s="35"/>
      <c r="C2" s="36"/>
      <c r="D2" s="20"/>
      <c r="E2" s="21"/>
      <c r="F2" s="3"/>
    </row>
    <row r="3" spans="1:8" ht="28.05" customHeight="1" x14ac:dyDescent="0.3">
      <c r="A3" s="37" t="s">
        <v>22</v>
      </c>
      <c r="B3" s="38"/>
      <c r="C3" s="39"/>
      <c r="D3" s="40" t="s">
        <v>23</v>
      </c>
      <c r="E3" s="41"/>
      <c r="F3" s="3"/>
    </row>
    <row r="4" spans="1:8" ht="15" customHeight="1" thickBot="1" x14ac:dyDescent="0.35">
      <c r="A4" s="65" t="s">
        <v>1</v>
      </c>
      <c r="B4" s="66"/>
      <c r="C4" s="67"/>
      <c r="D4" s="49"/>
      <c r="E4" s="50"/>
      <c r="F4" s="3"/>
    </row>
    <row r="5" spans="1:8" ht="15" customHeight="1" x14ac:dyDescent="0.3">
      <c r="A5" s="28" t="s">
        <v>24</v>
      </c>
      <c r="B5" s="29"/>
      <c r="C5" s="29"/>
      <c r="D5" s="29"/>
      <c r="E5" s="30"/>
      <c r="F5" s="3"/>
      <c r="H5" s="2"/>
    </row>
    <row r="6" spans="1:8" ht="15" customHeight="1" thickBot="1" x14ac:dyDescent="0.35">
      <c r="A6" s="31"/>
      <c r="B6" s="32"/>
      <c r="C6" s="32"/>
      <c r="D6" s="32"/>
      <c r="E6" s="33"/>
      <c r="F6" s="3"/>
    </row>
    <row r="7" spans="1:8" ht="15" customHeight="1" x14ac:dyDescent="0.3">
      <c r="A7" s="42" t="s">
        <v>2</v>
      </c>
      <c r="B7" s="43"/>
      <c r="C7" s="45"/>
      <c r="D7" s="18" t="s">
        <v>3</v>
      </c>
      <c r="E7" s="19"/>
      <c r="F7" s="3"/>
      <c r="H7" s="17"/>
    </row>
    <row r="8" spans="1:8" ht="15" customHeight="1" x14ac:dyDescent="0.3">
      <c r="A8" s="59" t="s">
        <v>25</v>
      </c>
      <c r="B8" s="60"/>
      <c r="C8" s="61"/>
      <c r="D8" s="7" t="s">
        <v>4</v>
      </c>
      <c r="E8" s="70">
        <f>E18*1.1236</f>
        <v>505.61999999999995</v>
      </c>
      <c r="F8" s="4"/>
    </row>
    <row r="9" spans="1:8" ht="15" customHeight="1" x14ac:dyDescent="0.3">
      <c r="A9" s="42"/>
      <c r="B9" s="43"/>
      <c r="C9" s="43"/>
      <c r="D9" s="8" t="s">
        <v>5</v>
      </c>
      <c r="E9" s="9"/>
      <c r="F9" s="3"/>
    </row>
    <row r="10" spans="1:8" ht="10.95" customHeight="1" x14ac:dyDescent="0.3">
      <c r="A10" s="14" t="s">
        <v>6</v>
      </c>
      <c r="B10" s="15"/>
      <c r="C10" s="11"/>
      <c r="D10" s="8"/>
      <c r="E10" s="9"/>
      <c r="F10" s="3"/>
    </row>
    <row r="11" spans="1:8" ht="15" customHeight="1" x14ac:dyDescent="0.3">
      <c r="A11" s="12" t="s">
        <v>26</v>
      </c>
      <c r="B11" s="13"/>
      <c r="C11" s="1" t="s">
        <v>7</v>
      </c>
      <c r="D11" s="47" t="s">
        <v>8</v>
      </c>
      <c r="E11" s="48"/>
      <c r="F11" s="3"/>
    </row>
    <row r="12" spans="1:8" ht="15" customHeight="1" x14ac:dyDescent="0.3">
      <c r="A12" s="44" t="s">
        <v>27</v>
      </c>
      <c r="B12" s="43"/>
      <c r="C12" s="46"/>
      <c r="D12" s="8" t="s">
        <v>9</v>
      </c>
      <c r="E12" s="69">
        <f>E8*0.11</f>
        <v>55.618199999999995</v>
      </c>
      <c r="F12" s="3"/>
    </row>
    <row r="13" spans="1:8" ht="15" customHeight="1" x14ac:dyDescent="0.3">
      <c r="A13" s="53" t="s">
        <v>28</v>
      </c>
      <c r="B13" s="62"/>
      <c r="C13" s="54"/>
      <c r="D13" s="8" t="s">
        <v>10</v>
      </c>
      <c r="E13" s="9"/>
      <c r="F13" s="3"/>
    </row>
    <row r="14" spans="1:8" ht="10.95" customHeight="1" x14ac:dyDescent="0.3">
      <c r="A14" s="51" t="s">
        <v>11</v>
      </c>
      <c r="B14" s="52"/>
      <c r="C14" s="16" t="s">
        <v>12</v>
      </c>
      <c r="D14" s="10" t="s">
        <v>13</v>
      </c>
      <c r="E14" s="9"/>
      <c r="F14" s="3"/>
    </row>
    <row r="15" spans="1:8" ht="15" customHeight="1" thickBot="1" x14ac:dyDescent="0.35">
      <c r="A15" s="53" t="s">
        <v>14</v>
      </c>
      <c r="B15" s="54"/>
      <c r="C15" s="71">
        <v>46094</v>
      </c>
      <c r="D15" s="7" t="s">
        <v>15</v>
      </c>
      <c r="E15" s="9"/>
      <c r="F15" s="3"/>
    </row>
    <row r="16" spans="1:8" ht="15" customHeight="1" thickBot="1" x14ac:dyDescent="0.35">
      <c r="A16" s="55"/>
      <c r="B16" s="56"/>
      <c r="C16" s="52"/>
      <c r="D16" s="10" t="s">
        <v>16</v>
      </c>
      <c r="E16" s="6"/>
      <c r="F16" s="72">
        <f>E8-E12</f>
        <v>450.00179999999995</v>
      </c>
      <c r="G16" s="22"/>
    </row>
    <row r="17" spans="1:6" ht="15" customHeight="1" thickBot="1" x14ac:dyDescent="0.35">
      <c r="A17" s="53"/>
      <c r="B17" s="62"/>
      <c r="C17" s="54"/>
      <c r="D17" s="7" t="s">
        <v>17</v>
      </c>
      <c r="E17" s="69">
        <f>SUM(E12:E16)</f>
        <v>55.618199999999995</v>
      </c>
      <c r="F17" s="3"/>
    </row>
    <row r="18" spans="1:6" ht="18" customHeight="1" thickBot="1" x14ac:dyDescent="0.35">
      <c r="A18" s="59"/>
      <c r="B18" s="62"/>
      <c r="C18" s="62"/>
      <c r="D18" s="23" t="s">
        <v>18</v>
      </c>
      <c r="E18" s="68">
        <v>450</v>
      </c>
      <c r="F18" s="3"/>
    </row>
    <row r="19" spans="1:6" ht="28.05" customHeight="1" thickBot="1" x14ac:dyDescent="0.35">
      <c r="A19" s="5" t="s">
        <v>19</v>
      </c>
      <c r="B19" s="57" t="s">
        <v>29</v>
      </c>
      <c r="C19" s="58"/>
      <c r="D19" s="63" t="s">
        <v>20</v>
      </c>
      <c r="E19" s="64"/>
      <c r="F19" s="3"/>
    </row>
    <row r="20" spans="1:6" ht="15" thickBot="1" x14ac:dyDescent="0.35"/>
    <row r="21" spans="1:6" ht="21.6" thickBot="1" x14ac:dyDescent="0.45">
      <c r="A21" s="25" t="s">
        <v>21</v>
      </c>
      <c r="B21" s="26"/>
      <c r="C21" s="26"/>
      <c r="D21" s="26"/>
      <c r="E21" s="27"/>
    </row>
    <row r="22" spans="1:6" x14ac:dyDescent="0.3">
      <c r="A22" s="34" t="s">
        <v>0</v>
      </c>
      <c r="B22" s="35"/>
      <c r="C22" s="36"/>
      <c r="D22" s="20"/>
      <c r="E22" s="21"/>
    </row>
    <row r="23" spans="1:6" ht="14.4" customHeight="1" x14ac:dyDescent="0.3">
      <c r="A23" s="37" t="s">
        <v>22</v>
      </c>
      <c r="B23" s="38"/>
      <c r="C23" s="39"/>
      <c r="D23" s="40" t="s">
        <v>23</v>
      </c>
      <c r="E23" s="41"/>
    </row>
    <row r="24" spans="1:6" ht="15" thickBot="1" x14ac:dyDescent="0.35">
      <c r="A24" s="65" t="s">
        <v>1</v>
      </c>
      <c r="B24" s="66"/>
      <c r="C24" s="67"/>
      <c r="D24" s="49"/>
      <c r="E24" s="50"/>
    </row>
    <row r="25" spans="1:6" ht="14.4" customHeight="1" x14ac:dyDescent="0.3">
      <c r="A25" s="28" t="s">
        <v>24</v>
      </c>
      <c r="B25" s="29"/>
      <c r="C25" s="29"/>
      <c r="D25" s="29"/>
      <c r="E25" s="30"/>
    </row>
    <row r="26" spans="1:6" ht="15" thickBot="1" x14ac:dyDescent="0.35">
      <c r="A26" s="31"/>
      <c r="B26" s="32"/>
      <c r="C26" s="32"/>
      <c r="D26" s="32"/>
      <c r="E26" s="33"/>
    </row>
    <row r="27" spans="1:6" x14ac:dyDescent="0.3">
      <c r="A27" s="42" t="s">
        <v>2</v>
      </c>
      <c r="B27" s="43"/>
      <c r="C27" s="45"/>
      <c r="D27" s="18" t="s">
        <v>3</v>
      </c>
      <c r="E27" s="19"/>
    </row>
    <row r="28" spans="1:6" x14ac:dyDescent="0.3">
      <c r="A28" s="59" t="s">
        <v>25</v>
      </c>
      <c r="B28" s="60"/>
      <c r="C28" s="61"/>
      <c r="D28" s="7" t="s">
        <v>4</v>
      </c>
      <c r="E28" s="70">
        <f>E38*1.1236</f>
        <v>505.61999999999995</v>
      </c>
    </row>
    <row r="29" spans="1:6" x14ac:dyDescent="0.3">
      <c r="A29" s="42"/>
      <c r="B29" s="43"/>
      <c r="C29" s="43"/>
      <c r="D29" s="8" t="s">
        <v>5</v>
      </c>
      <c r="E29" s="9"/>
    </row>
    <row r="30" spans="1:6" x14ac:dyDescent="0.3">
      <c r="A30" s="14" t="s">
        <v>6</v>
      </c>
      <c r="B30" s="15"/>
      <c r="C30" s="11"/>
      <c r="D30" s="8"/>
      <c r="E30" s="9"/>
    </row>
    <row r="31" spans="1:6" x14ac:dyDescent="0.3">
      <c r="A31" s="12" t="s">
        <v>26</v>
      </c>
      <c r="B31" s="13"/>
      <c r="C31" s="1" t="s">
        <v>7</v>
      </c>
      <c r="D31" s="47" t="s">
        <v>8</v>
      </c>
      <c r="E31" s="48"/>
    </row>
    <row r="32" spans="1:6" x14ac:dyDescent="0.3">
      <c r="A32" s="44" t="s">
        <v>27</v>
      </c>
      <c r="B32" s="43"/>
      <c r="C32" s="24"/>
      <c r="D32" s="8" t="s">
        <v>9</v>
      </c>
      <c r="E32" s="69">
        <f>E28*0.11</f>
        <v>55.618199999999995</v>
      </c>
    </row>
    <row r="33" spans="1:5" x14ac:dyDescent="0.3">
      <c r="A33" s="53" t="s">
        <v>28</v>
      </c>
      <c r="B33" s="62"/>
      <c r="C33" s="54"/>
      <c r="D33" s="8" t="s">
        <v>10</v>
      </c>
      <c r="E33" s="9"/>
    </row>
    <row r="34" spans="1:5" x14ac:dyDescent="0.3">
      <c r="A34" s="51" t="s">
        <v>11</v>
      </c>
      <c r="B34" s="52"/>
      <c r="C34" s="16" t="s">
        <v>12</v>
      </c>
      <c r="D34" s="10" t="s">
        <v>13</v>
      </c>
      <c r="E34" s="9"/>
    </row>
    <row r="35" spans="1:5" x14ac:dyDescent="0.3">
      <c r="A35" s="53" t="s">
        <v>14</v>
      </c>
      <c r="B35" s="54"/>
      <c r="C35" s="71">
        <v>46094</v>
      </c>
      <c r="D35" s="7" t="s">
        <v>15</v>
      </c>
      <c r="E35" s="9"/>
    </row>
    <row r="36" spans="1:5" x14ac:dyDescent="0.3">
      <c r="A36" s="55"/>
      <c r="B36" s="56"/>
      <c r="C36" s="52"/>
      <c r="D36" s="10" t="s">
        <v>16</v>
      </c>
      <c r="E36" s="6"/>
    </row>
    <row r="37" spans="1:5" ht="15" thickBot="1" x14ac:dyDescent="0.35">
      <c r="A37" s="53"/>
      <c r="B37" s="62"/>
      <c r="C37" s="54"/>
      <c r="D37" s="7" t="s">
        <v>17</v>
      </c>
      <c r="E37" s="69">
        <f>SUM(E32:E36)</f>
        <v>55.618199999999995</v>
      </c>
    </row>
    <row r="38" spans="1:5" ht="15" thickBot="1" x14ac:dyDescent="0.35">
      <c r="A38" s="59"/>
      <c r="B38" s="62"/>
      <c r="C38" s="62"/>
      <c r="D38" s="23" t="s">
        <v>18</v>
      </c>
      <c r="E38" s="68">
        <v>450</v>
      </c>
    </row>
    <row r="39" spans="1:5" ht="15" thickBot="1" x14ac:dyDescent="0.35">
      <c r="A39" s="5" t="s">
        <v>19</v>
      </c>
      <c r="B39" s="57" t="s">
        <v>29</v>
      </c>
      <c r="C39" s="58"/>
      <c r="D39" s="63" t="s">
        <v>20</v>
      </c>
      <c r="E39" s="64"/>
    </row>
  </sheetData>
  <mergeCells count="41">
    <mergeCell ref="A29:C29"/>
    <mergeCell ref="A38:C38"/>
    <mergeCell ref="A33:C33"/>
    <mergeCell ref="A37:C37"/>
    <mergeCell ref="A18:C18"/>
    <mergeCell ref="A32:B32"/>
    <mergeCell ref="A28:C28"/>
    <mergeCell ref="B19:C19"/>
    <mergeCell ref="A14:B14"/>
    <mergeCell ref="A4:C4"/>
    <mergeCell ref="A24:C24"/>
    <mergeCell ref="D31:E31"/>
    <mergeCell ref="A34:B34"/>
    <mergeCell ref="A35:B35"/>
    <mergeCell ref="A36:C36"/>
    <mergeCell ref="B39:C39"/>
    <mergeCell ref="D39:E39"/>
    <mergeCell ref="A27:C27"/>
    <mergeCell ref="C12"/>
    <mergeCell ref="D11:E11"/>
    <mergeCell ref="D24:E24"/>
    <mergeCell ref="A25:E26"/>
    <mergeCell ref="A17:C17"/>
    <mergeCell ref="A15:B15"/>
    <mergeCell ref="A13:C13"/>
    <mergeCell ref="D19:E19"/>
    <mergeCell ref="A16:C16"/>
    <mergeCell ref="A1:E1"/>
    <mergeCell ref="A5:E6"/>
    <mergeCell ref="A21:E21"/>
    <mergeCell ref="A22:C22"/>
    <mergeCell ref="A23:C23"/>
    <mergeCell ref="D23:E23"/>
    <mergeCell ref="A2:C2"/>
    <mergeCell ref="A9:C9"/>
    <mergeCell ref="A12:B12"/>
    <mergeCell ref="A3:C3"/>
    <mergeCell ref="D3:E3"/>
    <mergeCell ref="A8:C8"/>
    <mergeCell ref="A7:C7"/>
    <mergeCell ref="D4:E4"/>
  </mergeCells>
  <pageMargins left="0.5" right="0.5" top="0.5" bottom="0.5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RPA 005</vt:lpstr>
      <vt:lpstr>'RPA 005'!Area_de_impressao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Eduardo Dornelles - Safe Park</cp:lastModifiedBy>
  <cp:lastPrinted>2026-03-13T14:31:05Z</cp:lastPrinted>
  <dcterms:created xsi:type="dcterms:W3CDTF">2026-03-13T13:22:36Z</dcterms:created>
  <dcterms:modified xsi:type="dcterms:W3CDTF">2026-03-13T14:31:57Z</dcterms:modified>
</cp:coreProperties>
</file>